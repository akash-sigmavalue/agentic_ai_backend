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ece32553746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 Valuation" sheetId="1" r:id="Re13b265152fc4a04"/>
    <x:sheet xmlns:r="http://schemas.openxmlformats.org/officeDocument/2006/relationships" name="Asset Master" sheetId="2" r:id="R270925d113ac419d"/>
    <x:sheet xmlns:r="http://schemas.openxmlformats.org/officeDocument/2006/relationships" name="Dashboard Data" sheetId="3" r:id="Re077c377017e4b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₹#,##0"/>
    <x:numFmt numFmtId="201" formatCode="dd-mm-yyyy"/>
    <x:numFmt numFmtId="202" formatCode="0.0000"/>
    <x:numFmt numFmtId="203" formatCode="0%"/>
    <x:numFmt numFmtId="204" formatCode="0&quot;%&quot;"/>
  </x:numFmts>
  <x:fonts count="3">
    <x:font>
      <x:sz val="11"/>
      <x:name val="Carlito"/>
    </x:font>
    <x:font>
      <x:b/>
      <x:sz val="14"/>
      <x:color rgb="1F4E78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C00000"/>
      </x:font>
    </x:dxf>
    <x:dxf>
      <x:font>
        <x:color rgb="006100"/>
      </x:font>
    </x:dxf>
    <x:dxf>
      <x:font>
        <x:color rgb="C00000"/>
      </x:font>
    </x:dxf>
    <x:dxf>
      <x:font>
        <x:color rgb="0061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070d89d65a4a18" /><Relationship Type="http://schemas.openxmlformats.org/officeDocument/2006/relationships/theme" Target="/xl/theme/theme1.xml" Id="R0efc9b13ad1c4e26" /><Relationship Type="http://schemas.openxmlformats.org/officeDocument/2006/relationships/sharedStrings" Target="/xl/sharedStrings.xml" Id="R537f1559f601497f" /><Relationship Type="http://schemas.openxmlformats.org/officeDocument/2006/relationships/worksheet" Target="/xl/worksheets/sheet1.xml" Id="Re13b265152fc4a04" /><Relationship Type="http://schemas.openxmlformats.org/officeDocument/2006/relationships/worksheet" Target="/xl/worksheets/sheet2.xml" Id="R270925d113ac419d" /><Relationship Type="http://schemas.openxmlformats.org/officeDocument/2006/relationships/worksheet" Target="/xl/worksheets/sheet3.xml" Id="Re077c377017e4b2d" /></Relationships>
</file>

<file path=xl/tables/table1.xml><?xml version="1.0" encoding="utf-8"?>
<x:table xmlns:x="http://schemas.openxmlformats.org/spreadsheetml/2006/main" id="1" name="AssetValuationTable" displayName="AssetValuationTable" ref="A2:G12" headerRowCount="1">
  <x:tableColumns count="7">
    <x:tableColumn id="1" name="Asset ID"/>
    <x:tableColumn id="2" name="Acquisition Cost"/>
    <x:tableColumn id="3" name="Current Market Value"/>
    <x:tableColumn id="4" name="Book Value"/>
    <x:tableColumn id="5" name="Valuation Date"/>
    <x:tableColumn id="6" name="Valuation Method"/>
    <x:tableColumn id="7" name="Appreciation/Depreciation"/>
  </x:tableColumns>
  <x:tableStyleInfo name="TableStyleMedium2" showRowStripes="1"/>
</x:table>
</file>

<file path=xl/tables/table2.xml><?xml version="1.0" encoding="utf-8"?>
<x:table xmlns:x="http://schemas.openxmlformats.org/spreadsheetml/2006/main" id="2" name="AssetMasterTable" displayName="AssetMasterTable" ref="A2:I12" headerRowCount="1">
  <x:tableColumns count="9">
    <x:tableColumn id="1" name="Asset ID"/>
    <x:tableColumn id="2" name="Property Name"/>
    <x:tableColumn id="3" name="Asset Type"/>
    <x:tableColumn id="4" name="Ownership Type"/>
    <x:tableColumn id="5" name="Address"/>
    <x:tableColumn id="6" name="City"/>
    <x:tableColumn id="7" name="Micromarket"/>
    <x:tableColumn id="8" name="Latitude"/>
    <x:tableColumn id="9" name="Longitude"/>
  </x:tableColumns>
  <x:tableStyleInfo name="TableStyleMedium2" showRowStripes="1"/>
</x:table>
</file>

<file path=xl/tables/table3.xml><?xml version="1.0" encoding="utf-8"?>
<x:table xmlns:x="http://schemas.openxmlformats.org/spreadsheetml/2006/main" id="3" name="AssetDashboardTable" displayName="AssetDashboardTable" ref="A2:X12" headerRowCount="1">
  <x:tableColumns count="24">
    <x:tableColumn id="1" name="Dashboard ID"/>
    <x:tableColumn id="2" name="Asset ID"/>
    <x:tableColumn id="3" name="Property Name"/>
    <x:tableColumn id="4" name="Micromarket"/>
    <x:tableColumn id="5" name="City"/>
    <x:tableColumn id="6" name="Acquisition Cost (₹)"/>
    <x:tableColumn id="7" name="Current Market Value (₹)"/>
    <x:tableColumn id="8" name="Book Value (₹)"/>
    <x:tableColumn id="9" name="Valuation Date"/>
    <x:tableColumn id="10" name="Valuation Method"/>
    <x:tableColumn id="11" name="Appreciation / Depreciation"/>
    <x:tableColumn id="12" name="Rental Income (₹/yr)"/>
    <x:tableColumn id="13" name="Occupancy Income (₹/yr)"/>
    <x:tableColumn id="14" name="Other Income (₹/yr)"/>
    <x:tableColumn id="15" name="Escalation Clause"/>
    <x:tableColumn id="16" name="Collection Efficiency (%)"/>
    <x:tableColumn id="17" name="Maintenance Cost (₹/yr)"/>
    <x:tableColumn id="18" name="Property Tax (₹/yr)"/>
    <x:tableColumn id="19" name="Insurance (₹/yr)"/>
    <x:tableColumn id="20" name="Utilities (₹/yr)"/>
    <x:tableColumn id="21" name="Repairs (₹/yr)"/>
    <x:tableColumn id="22" name="Capex (₹)"/>
    <x:tableColumn id="23" name="Opex (₹/yr)"/>
    <x:tableColumn id="24" name="EMI (₹/month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0e7bfea9cd4f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eab3d5c9d440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6ae239df88e44b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16" hidden="0" customWidth="1"/>
    <x:col min="5" max="5" width="16" hidden="0" customWidth="1"/>
    <x:col min="6" max="6" width="30" hidden="0" customWidth="1"/>
    <x:col min="7" max="7" width="24" hidden="0" customWidth="1"/>
  </x:cols>
  <x:sheetData>
    <x:row r="1">
      <x:c r="A1" s="5" t="str">
        <x:v>Asset Valuation Table</x:v>
      </x:c>
      <x:c r="B1" s="5"/>
      <x:c r="C1" s="5"/>
      <x:c r="D1" s="5"/>
      <x:c r="E1" s="5"/>
      <x:c r="F1" s="5"/>
      <x:c r="G1" s="5"/>
    </x:row>
    <x:row r="2">
      <x:c r="A2" s="14" t="str">
        <x:v>Asset ID</x:v>
      </x:c>
      <x:c r="B2" s="14" t="str">
        <x:v>Acquisition Cost</x:v>
      </x:c>
      <x:c r="C2" s="14" t="str">
        <x:v>Current Market Value</x:v>
      </x:c>
      <x:c r="D2" s="14" t="str">
        <x:v>Book Value</x:v>
      </x:c>
      <x:c r="E2" s="14" t="str">
        <x:v>Valuation Date</x:v>
      </x:c>
      <x:c r="F2" s="14" t="str">
        <x:v>Valuation Method</x:v>
      </x:c>
      <x:c r="G2" s="14" t="str">
        <x:v>Appreciation/Depreciation</x:v>
      </x:c>
    </x:row>
    <x:row r="3">
      <x:c r="A3" s="27" t="str">
        <x:v>AST-001</x:v>
      </x:c>
      <x:c r="B3" s="28" t="n">
        <x:v>1250000</x:v>
      </x:c>
      <x:c r="C3" s="28" t="n">
        <x:v>1420000</x:v>
      </x:c>
      <x:c r="D3" s="28" t="n">
        <x:v>1080000</x:v>
      </x:c>
      <x:c r="E3" s="29" t="n">
        <x:v>45747</x:v>
      </x:c>
      <x:c r="F3" s="27" t="str">
        <x:v>Market Approach</x:v>
      </x:c>
      <x:c r="G3" s="28" t="n">
        <x:f>C3-B3</x:f>
        <x:v>170000</x:v>
      </x:c>
    </x:row>
    <x:row r="4">
      <x:c r="A4" s="27" t="str">
        <x:v>AST-002</x:v>
      </x:c>
      <x:c r="B4" s="28" t="n">
        <x:v>875000</x:v>
      </x:c>
      <x:c r="C4" s="28" t="n">
        <x:v>790000</x:v>
      </x:c>
      <x:c r="D4" s="28" t="n">
        <x:v>695000</x:v>
      </x:c>
      <x:c r="E4" s="29" t="n">
        <x:v>45747</x:v>
      </x:c>
      <x:c r="F4" s="27" t="str">
        <x:v>Cost Approach</x:v>
      </x:c>
      <x:c r="G4" s="28" t="n">
        <x:f>C4-B4</x:f>
        <x:v>-85000</x:v>
      </x:c>
    </x:row>
    <x:row r="5">
      <x:c r="A5" s="27" t="str">
        <x:v>AST-003</x:v>
      </x:c>
      <x:c r="B5" s="28" t="n">
        <x:v>1800000</x:v>
      </x:c>
      <x:c r="C5" s="28" t="n">
        <x:v>2150000</x:v>
      </x:c>
      <x:c r="D5" s="28" t="n">
        <x:v>1560000</x:v>
      </x:c>
      <x:c r="E5" s="29" t="n">
        <x:v>45747</x:v>
      </x:c>
      <x:c r="F5" s="27" t="str">
        <x:v>Market Approach</x:v>
      </x:c>
      <x:c r="G5" s="28" t="n">
        <x:f>C5-B5</x:f>
        <x:v>350000</x:v>
      </x:c>
    </x:row>
    <x:row r="6">
      <x:c r="A6" s="27" t="str">
        <x:v>AST-004</x:v>
      </x:c>
      <x:c r="B6" s="28" t="n">
        <x:v>540000</x:v>
      </x:c>
      <x:c r="C6" s="28" t="n">
        <x:v>485000</x:v>
      </x:c>
      <x:c r="D6" s="28" t="n">
        <x:v>410000</x:v>
      </x:c>
      <x:c r="E6" s="29" t="n">
        <x:v>45747</x:v>
      </x:c>
      <x:c r="F6" s="27" t="str">
        <x:v>Depreciated Replacement Cost</x:v>
      </x:c>
      <x:c r="G6" s="28" t="n">
        <x:f>C6-B6</x:f>
        <x:v>-55000</x:v>
      </x:c>
    </x:row>
    <x:row r="7">
      <x:c r="A7" s="27" t="str">
        <x:v>AST-005</x:v>
      </x:c>
      <x:c r="B7" s="28" t="n">
        <x:v>2275000</x:v>
      </x:c>
      <x:c r="C7" s="28" t="n">
        <x:v>2530000</x:v>
      </x:c>
      <x:c r="D7" s="28" t="n">
        <x:v>1990000</x:v>
      </x:c>
      <x:c r="E7" s="29" t="n">
        <x:v>45747</x:v>
      </x:c>
      <x:c r="F7" s="27" t="str">
        <x:v>Income Approach</x:v>
      </x:c>
      <x:c r="G7" s="28" t="n">
        <x:f>C7-B7</x:f>
        <x:v>255000</x:v>
      </x:c>
    </x:row>
    <x:row r="8">
      <x:c r="A8" s="27" t="str">
        <x:v>AST-006</x:v>
      </x:c>
      <x:c r="B8" s="28" t="n">
        <x:v>320000</x:v>
      </x:c>
      <x:c r="C8" s="28" t="n">
        <x:v>275000</x:v>
      </x:c>
      <x:c r="D8" s="28" t="n">
        <x:v>240000</x:v>
      </x:c>
      <x:c r="E8" s="29" t="n">
        <x:v>45747</x:v>
      </x:c>
      <x:c r="F8" s="27" t="str">
        <x:v>Cost Approach</x:v>
      </x:c>
      <x:c r="G8" s="28" t="n">
        <x:f>C8-B8</x:f>
        <x:v>-45000</x:v>
      </x:c>
    </x:row>
    <x:row r="9">
      <x:c r="A9" s="27" t="str">
        <x:v>AST-007</x:v>
      </x:c>
      <x:c r="B9" s="28" t="n">
        <x:v>1560000</x:v>
      </x:c>
      <x:c r="C9" s="28" t="n">
        <x:v>1710000</x:v>
      </x:c>
      <x:c r="D9" s="28" t="n">
        <x:v>1325000</x:v>
      </x:c>
      <x:c r="E9" s="29" t="n">
        <x:v>45747</x:v>
      </x:c>
      <x:c r="F9" s="27" t="str">
        <x:v>Market Approach</x:v>
      </x:c>
      <x:c r="G9" s="28" t="n">
        <x:f>C9-B9</x:f>
        <x:v>150000</x:v>
      </x:c>
    </x:row>
    <x:row r="10">
      <x:c r="A10" s="27" t="str">
        <x:v>AST-008</x:v>
      </x:c>
      <x:c r="B10" s="28" t="n">
        <x:v>990000</x:v>
      </x:c>
      <x:c r="C10" s="28" t="n">
        <x:v>1080000</x:v>
      </x:c>
      <x:c r="D10" s="28" t="n">
        <x:v>855000</x:v>
      </x:c>
      <x:c r="E10" s="29" t="n">
        <x:v>45747</x:v>
      </x:c>
      <x:c r="F10" s="27" t="str">
        <x:v>Depreciated Replacement Cost</x:v>
      </x:c>
      <x:c r="G10" s="28" t="n">
        <x:f>C10-B10</x:f>
        <x:v>90000</x:v>
      </x:c>
    </x:row>
    <x:row r="11">
      <x:c r="A11" s="27" t="str">
        <x:v>AST-009</x:v>
      </x:c>
      <x:c r="B11" s="28" t="n">
        <x:v>3000000</x:v>
      </x:c>
      <x:c r="C11" s="28" t="n">
        <x:v>3450000</x:v>
      </x:c>
      <x:c r="D11" s="28" t="n">
        <x:v>2675000</x:v>
      </x:c>
      <x:c r="E11" s="29" t="n">
        <x:v>45747</x:v>
      </x:c>
      <x:c r="F11" s="27" t="str">
        <x:v>Income Approach</x:v>
      </x:c>
      <x:c r="G11" s="28" t="n">
        <x:f>C11-B11</x:f>
        <x:v>450000</x:v>
      </x:c>
    </x:row>
    <x:row r="12">
      <x:c r="A12" s="27" t="str">
        <x:v>AST-010</x:v>
      </x:c>
      <x:c r="B12" s="28" t="n">
        <x:v>680000</x:v>
      </x:c>
      <x:c r="C12" s="28" t="n">
        <x:v>610000</x:v>
      </x:c>
      <x:c r="D12" s="28" t="n">
        <x:v>525000</x:v>
      </x:c>
      <x:c r="E12" s="29" t="n">
        <x:v>45747</x:v>
      </x:c>
      <x:c r="F12" s="27" t="str">
        <x:v>Cost Approach</x:v>
      </x:c>
      <x:c r="G12" s="28" t="n">
        <x:f>C12-B12</x:f>
        <x:v>-70000</x:v>
      </x:c>
    </x:row>
  </x:sheetData>
  <x:mergeCells>
    <x:mergeCell ref="A1:G1"/>
  </x:mergeCells>
  <x:conditionalFormatting sqref="G3:G12">
    <x:cfRule type="expression" dxfId="0" priority="1">
      <x:formula>G3&lt;0</x:formula>
    </x:cfRule>
    <x:cfRule type="expression" dxfId="1" priority="2">
      <x:formula>G3&gt;=0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0e7bfea9cd4f3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2" hidden="0" customWidth="1"/>
    <x:col min="4" max="4" width="18" hidden="0" customWidth="1"/>
    <x:col min="5" max="5" width="36" hidden="0" customWidth="1"/>
    <x:col min="6" max="6" width="14" hidden="0" customWidth="1"/>
    <x:col min="7" max="7" width="18" hidden="0" customWidth="1"/>
    <x:col min="8" max="8" width="12" hidden="0" customWidth="1"/>
    <x:col min="9" max="9" width="12" hidden="0" customWidth="1"/>
  </x:cols>
  <x:sheetData>
    <x:row r="1">
      <x:c r="A1" s="5" t="str">
        <x:v>Asset Master Table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4" t="str">
        <x:v>Asset ID</x:v>
      </x:c>
      <x:c r="B2" s="14" t="str">
        <x:v>Property Name</x:v>
      </x:c>
      <x:c r="C2" s="14" t="str">
        <x:v>Asset Type</x:v>
      </x:c>
      <x:c r="D2" s="14" t="str">
        <x:v>Ownership Type</x:v>
      </x:c>
      <x:c r="E2" s="14" t="str">
        <x:v>Address</x:v>
      </x:c>
      <x:c r="F2" s="14" t="str">
        <x:v>City</x:v>
      </x:c>
      <x:c r="G2" s="14" t="str">
        <x:v>Micromarket</x:v>
      </x:c>
      <x:c r="H2" s="14" t="str">
        <x:v>Latitude</x:v>
      </x:c>
      <x:c r="I2" s="14" t="str">
        <x:v>Longitude</x:v>
      </x:c>
    </x:row>
    <x:row r="3">
      <x:c r="A3" s="27" t="str">
        <x:v>AST-001</x:v>
      </x:c>
      <x:c r="B3" s="27" t="str">
        <x:v>Omicron Commerz</x:v>
      </x:c>
      <x:c r="C3" s="27" t="str">
        <x:v>Commercial Office</x:v>
      </x:c>
      <x:c r="D3" s="27" t="str">
        <x:v>Freehold</x:v>
      </x:c>
      <x:c r="E3" s="27" t="str">
        <x:v>Baner Road, Near Balewadi Phata</x:v>
      </x:c>
      <x:c r="F3" s="27" t="str">
        <x:v>Pune</x:v>
      </x:c>
      <x:c r="G3" s="27" t="str">
        <x:v>Baner</x:v>
      </x:c>
      <x:c r="H3" s="40" t="n">
        <x:v>18.559</x:v>
      </x:c>
      <x:c r="I3" s="40" t="n">
        <x:v>73.7868</x:v>
      </x:c>
    </x:row>
    <x:row r="4">
      <x:c r="A4" s="27" t="str">
        <x:v>AST-002</x:v>
      </x:c>
      <x:c r="B4" s="27" t="str">
        <x:v>Westfield Business Park</x:v>
      </x:c>
      <x:c r="C4" s="27" t="str">
        <x:v>IT Park</x:v>
      </x:c>
      <x:c r="D4" s="27" t="str">
        <x:v>Leasehold</x:v>
      </x:c>
      <x:c r="E4" s="27" t="str">
        <x:v>Wakad-Hinjewadi Road</x:v>
      </x:c>
      <x:c r="F4" s="27" t="str">
        <x:v>Pune</x:v>
      </x:c>
      <x:c r="G4" s="27" t="str">
        <x:v>Wakad</x:v>
      </x:c>
      <x:c r="H4" s="40" t="n">
        <x:v>18.5976</x:v>
      </x:c>
      <x:c r="I4" s="40" t="n">
        <x:v>73.7644</x:v>
      </x:c>
    </x:row>
    <x:row r="5">
      <x:c r="A5" s="27" t="str">
        <x:v>AST-003</x:v>
      </x:c>
      <x:c r="B5" s="27" t="str">
        <x:v>Skyline Residency</x:v>
      </x:c>
      <x:c r="C5" s="27" t="str">
        <x:v>Residential Apartment</x:v>
      </x:c>
      <x:c r="D5" s="27" t="str">
        <x:v>Freehold</x:v>
      </x:c>
      <x:c r="E5" s="27" t="str">
        <x:v>Kharadi Bypass Road</x:v>
      </x:c>
      <x:c r="F5" s="27" t="str">
        <x:v>Pune</x:v>
      </x:c>
      <x:c r="G5" s="27" t="str">
        <x:v>Kharadi</x:v>
      </x:c>
      <x:c r="H5" s="40" t="n">
        <x:v>18.5515</x:v>
      </x:c>
      <x:c r="I5" s="40" t="n">
        <x:v>73.9348</x:v>
      </x:c>
    </x:row>
    <x:row r="6">
      <x:c r="A6" s="27" t="str">
        <x:v>AST-004</x:v>
      </x:c>
      <x:c r="B6" s="27" t="str">
        <x:v>Metro Square Mall</x:v>
      </x:c>
      <x:c r="C6" s="27" t="str">
        <x:v>Retail Mall</x:v>
      </x:c>
      <x:c r="D6" s="27" t="str">
        <x:v>Freehold</x:v>
      </x:c>
      <x:c r="E6" s="27" t="str">
        <x:v>Nagar Road</x:v>
      </x:c>
      <x:c r="F6" s="27" t="str">
        <x:v>Pune</x:v>
      </x:c>
      <x:c r="G6" s="27" t="str">
        <x:v>Viman Nagar</x:v>
      </x:c>
      <x:c r="H6" s="40" t="n">
        <x:v>18.5679</x:v>
      </x:c>
      <x:c r="I6" s="40" t="n">
        <x:v>73.9143</x:v>
      </x:c>
    </x:row>
    <x:row r="7">
      <x:c r="A7" s="27" t="str">
        <x:v>AST-005</x:v>
      </x:c>
      <x:c r="B7" s="27" t="str">
        <x:v>Greenfield Warehouse</x:v>
      </x:c>
      <x:c r="C7" s="27" t="str">
        <x:v>Industrial Warehouse</x:v>
      </x:c>
      <x:c r="D7" s="27" t="str">
        <x:v>Leasehold</x:v>
      </x:c>
      <x:c r="E7" s="27" t="str">
        <x:v>Chakan MIDC Road</x:v>
      </x:c>
      <x:c r="F7" s="27" t="str">
        <x:v>Pune</x:v>
      </x:c>
      <x:c r="G7" s="27" t="str">
        <x:v>Chakan</x:v>
      </x:c>
      <x:c r="H7" s="40" t="n">
        <x:v>18.7606</x:v>
      </x:c>
      <x:c r="I7" s="40" t="n">
        <x:v>73.8583</x:v>
      </x:c>
    </x:row>
    <x:row r="8">
      <x:c r="A8" s="27" t="str">
        <x:v>AST-006</x:v>
      </x:c>
      <x:c r="B8" s="27" t="str">
        <x:v>Prime Corporate Tower</x:v>
      </x:c>
      <x:c r="C8" s="27" t="str">
        <x:v>Commercial Office</x:v>
      </x:c>
      <x:c r="D8" s="27" t="str">
        <x:v>Freehold</x:v>
      </x:c>
      <x:c r="E8" s="27" t="str">
        <x:v>Senapati Bapat Road</x:v>
      </x:c>
      <x:c r="F8" s="27" t="str">
        <x:v>Pune</x:v>
      </x:c>
      <x:c r="G8" s="27" t="str">
        <x:v>Shivajinagar</x:v>
      </x:c>
      <x:c r="H8" s="40" t="n">
        <x:v>18.5308</x:v>
      </x:c>
      <x:c r="I8" s="40" t="n">
        <x:v>73.8475</x:v>
      </x:c>
    </x:row>
    <x:row r="9">
      <x:c r="A9" s="27" t="str">
        <x:v>AST-007</x:v>
      </x:c>
      <x:c r="B9" s="27" t="str">
        <x:v>Lakeview Heights</x:v>
      </x:c>
      <x:c r="C9" s="27" t="str">
        <x:v>Residential Apartment</x:v>
      </x:c>
      <x:c r="D9" s="27" t="str">
        <x:v>Co-ownership</x:v>
      </x:c>
      <x:c r="E9" s="27" t="str">
        <x:v>Pashan-Sus Road</x:v>
      </x:c>
      <x:c r="F9" s="27" t="str">
        <x:v>Pune</x:v>
      </x:c>
      <x:c r="G9" s="27" t="str">
        <x:v>Pashan</x:v>
      </x:c>
      <x:c r="H9" s="40" t="n">
        <x:v>18.5395</x:v>
      </x:c>
      <x:c r="I9" s="40" t="n">
        <x:v>73.7952</x:v>
      </x:c>
    </x:row>
    <x:row r="10">
      <x:c r="A10" s="27" t="str">
        <x:v>AST-008</x:v>
      </x:c>
      <x:c r="B10" s="27" t="str">
        <x:v>Urban Logistics Hub</x:v>
      </x:c>
      <x:c r="C10" s="27" t="str">
        <x:v>Logistics Park</x:v>
      </x:c>
      <x:c r="D10" s="27" t="str">
        <x:v>Leasehold</x:v>
      </x:c>
      <x:c r="E10" s="27" t="str">
        <x:v>Talegaon Industrial Area</x:v>
      </x:c>
      <x:c r="F10" s="27" t="str">
        <x:v>Pune</x:v>
      </x:c>
      <x:c r="G10" s="27" t="str">
        <x:v>Talegaon</x:v>
      </x:c>
      <x:c r="H10" s="40" t="n">
        <x:v>18.7358</x:v>
      </x:c>
      <x:c r="I10" s="40" t="n">
        <x:v>73.6747</x:v>
      </x:c>
    </x:row>
    <x:row r="11">
      <x:c r="A11" s="27" t="str">
        <x:v>AST-009</x:v>
      </x:c>
      <x:c r="B11" s="27" t="str">
        <x:v>City Central Plaza</x:v>
      </x:c>
      <x:c r="C11" s="27" t="str">
        <x:v>Mixed Use</x:v>
      </x:c>
      <x:c r="D11" s="27" t="str">
        <x:v>Freehold</x:v>
      </x:c>
      <x:c r="E11" s="27" t="str">
        <x:v>FC Road</x:v>
      </x:c>
      <x:c r="F11" s="27" t="str">
        <x:v>Pune</x:v>
      </x:c>
      <x:c r="G11" s="27" t="str">
        <x:v>Deccan</x:v>
      </x:c>
      <x:c r="H11" s="40" t="n">
        <x:v>18.5196</x:v>
      </x:c>
      <x:c r="I11" s="40" t="n">
        <x:v>73.8418</x:v>
      </x:c>
    </x:row>
    <x:row r="12">
      <x:c r="A12" s="27" t="str">
        <x:v>AST-010</x:v>
      </x:c>
      <x:c r="B12" s="27" t="str">
        <x:v>Elite Tech Center</x:v>
      </x:c>
      <x:c r="C12" s="27" t="str">
        <x:v>IT/ITES Office</x:v>
      </x:c>
      <x:c r="D12" s="27" t="str">
        <x:v>Leasehold</x:v>
      </x:c>
      <x:c r="E12" s="27" t="str">
        <x:v>Rajiv Gandhi Infotech Park</x:v>
      </x:c>
      <x:c r="F12" s="27" t="str">
        <x:v>Pune</x:v>
      </x:c>
      <x:c r="G12" s="27" t="str">
        <x:v>Hinjewadi</x:v>
      </x:c>
      <x:c r="H12" s="40" t="n">
        <x:v>18.5913</x:v>
      </x:c>
      <x:c r="I12" s="40" t="n">
        <x:v>73.7389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29eab3d5c9d440d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4" hidden="0" customWidth="1"/>
    <x:col min="4" max="4" width="16" hidden="0" customWidth="1"/>
    <x:col min="5" max="5" width="12" hidden="0" customWidth="1"/>
    <x:col min="6" max="6" width="18" hidden="0" customWidth="1"/>
    <x:col min="7" max="7" width="22" hidden="0" customWidth="1"/>
    <x:col min="8" max="8" width="16" hidden="0" customWidth="1"/>
    <x:col min="9" max="9" width="16" hidden="0" customWidth="1"/>
    <x:col min="10" max="10" width="28" hidden="0" customWidth="1"/>
    <x:col min="11" max="11" width="22" hidden="0" customWidth="1"/>
    <x:col min="12" max="12" width="18" hidden="0" customWidth="1"/>
    <x:col min="13" max="13" width="22" hidden="0" customWidth="1"/>
    <x:col min="14" max="14" width="18" hidden="0" customWidth="1"/>
    <x:col min="15" max="15" width="18" hidden="0" customWidth="1"/>
    <x:col min="16" max="16" width="22" hidden="0" customWidth="1"/>
    <x:col min="17" max="17" width="20" hidden="0" customWidth="1"/>
    <x:col min="18" max="18" width="18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>
      <x:c r="A1" s="5" t="str">
        <x:v>Asset Dashboard Consolidated Data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>
      <x:c r="A2" s="14" t="str">
        <x:v>Dashboard ID</x:v>
      </x:c>
      <x:c r="B2" s="14" t="str">
        <x:v>Asset ID</x:v>
      </x:c>
      <x:c r="C2" s="14" t="str">
        <x:v>Property Name</x:v>
      </x:c>
      <x:c r="D2" s="14" t="str">
        <x:v>Micromarket</x:v>
      </x:c>
      <x:c r="E2" s="14" t="str">
        <x:v>City</x:v>
      </x:c>
      <x:c r="F2" s="14" t="str">
        <x:v>Acquisition Cost (₹)</x:v>
      </x:c>
      <x:c r="G2" s="14" t="str">
        <x:v>Current Market Value (₹)</x:v>
      </x:c>
      <x:c r="H2" s="14" t="str">
        <x:v>Book Value (₹)</x:v>
      </x:c>
      <x:c r="I2" s="14" t="str">
        <x:v>Valuation Date</x:v>
      </x:c>
      <x:c r="J2" s="14" t="str">
        <x:v>Valuation Method</x:v>
      </x:c>
      <x:c r="K2" s="14" t="str">
        <x:v>Appreciation / Depreciation</x:v>
      </x:c>
      <x:c r="L2" s="14" t="str">
        <x:v>Rental Income (₹/yr)</x:v>
      </x:c>
      <x:c r="M2" s="14" t="str">
        <x:v>Occupancy Income (₹/yr)</x:v>
      </x:c>
      <x:c r="N2" s="14" t="str">
        <x:v>Other Income (₹/yr)</x:v>
      </x:c>
      <x:c r="O2" s="14" t="str">
        <x:v>Escalation Clause</x:v>
      </x:c>
      <x:c r="P2" s="14" t="str">
        <x:v>Collection Efficiency (%)</x:v>
      </x:c>
      <x:c r="Q2" s="14" t="str">
        <x:v>Maintenance Cost (₹/yr)</x:v>
      </x:c>
      <x:c r="R2" s="14" t="str">
        <x:v>Property Tax (₹/yr)</x:v>
      </x:c>
      <x:c r="S2" s="14" t="str">
        <x:v>Insurance (₹/yr)</x:v>
      </x:c>
      <x:c r="T2" s="14" t="str">
        <x:v>Utilities (₹/yr)</x:v>
      </x:c>
      <x:c r="U2" s="14" t="str">
        <x:v>Repairs (₹/yr)</x:v>
      </x:c>
      <x:c r="V2" s="14" t="str">
        <x:v>Capex (₹)</x:v>
      </x:c>
      <x:c r="W2" s="14" t="str">
        <x:v>Opex (₹/yr)</x:v>
      </x:c>
      <x:c r="X2" s="14" t="str">
        <x:v>EMI (₹/month)</x:v>
      </x:c>
    </x:row>
    <x:row r="3">
      <x:c r="A3" s="27" t="str">
        <x:v>DB-001</x:v>
      </x:c>
      <x:c r="B3" s="27" t="str">
        <x:v>AST-001</x:v>
      </x:c>
      <x:c r="C3" s="27" t="str">
        <x:v>Omicron Commerz</x:v>
      </x:c>
      <x:c r="D3" s="27" t="str">
        <x:v>Baner</x:v>
      </x:c>
      <x:c r="E3" s="27" t="str">
        <x:v>Pune</x:v>
      </x:c>
      <x:c r="F3" s="28" t="n">
        <x:v>1250000</x:v>
      </x:c>
      <x:c r="G3" s="28" t="n">
        <x:v>1420000</x:v>
      </x:c>
      <x:c r="H3" s="28" t="n">
        <x:v>1080000</x:v>
      </x:c>
      <x:c r="I3" s="29" t="n">
        <x:v>45747</x:v>
      </x:c>
      <x:c r="J3" s="27" t="str">
        <x:v>Market Approach</x:v>
      </x:c>
      <x:c r="K3" s="28" t="n">
        <x:f>G3-F3</x:f>
        <x:v>170000</x:v>
      </x:c>
      <x:c r="L3" s="28" t="n">
        <x:v>240000</x:v>
      </x:c>
      <x:c r="M3" s="28" t="n">
        <x:v>228000</x:v>
      </x:c>
      <x:c r="N3" s="28" t="n">
        <x:v>35000</x:v>
      </x:c>
      <x:c r="O3" s="27" t="str">
        <x:v>5% yearly</x:v>
      </x:c>
      <x:c r="P3" s="44" t="n">
        <x:v>95</x:v>
      </x:c>
      <x:c r="Q3" s="28" t="n">
        <x:v>60000</x:v>
      </x:c>
      <x:c r="R3" s="28" t="n">
        <x:v>28000</x:v>
      </x:c>
      <x:c r="S3" s="28" t="n">
        <x:v>12000</x:v>
      </x:c>
      <x:c r="T3" s="28" t="n">
        <x:v>36000</x:v>
      </x:c>
      <x:c r="U3" s="28" t="n">
        <x:v>18000</x:v>
      </x:c>
      <x:c r="V3" s="28" t="n">
        <x:v>150000</x:v>
      </x:c>
      <x:c r="W3" s="28" t="n">
        <x:f>Q3+R3+S3+T3+U3</x:f>
        <x:v>154000</x:v>
      </x:c>
      <x:c r="X3" s="28" t="n">
        <x:v>18500</x:v>
      </x:c>
    </x:row>
    <x:row r="4">
      <x:c r="A4" s="27" t="str">
        <x:v>DB-002</x:v>
      </x:c>
      <x:c r="B4" s="27" t="str">
        <x:v>AST-002</x:v>
      </x:c>
      <x:c r="C4" s="27" t="str">
        <x:v>Westfield Business Park</x:v>
      </x:c>
      <x:c r="D4" s="27" t="str">
        <x:v>Wakad</x:v>
      </x:c>
      <x:c r="E4" s="27" t="str">
        <x:v>Pune</x:v>
      </x:c>
      <x:c r="F4" s="28" t="n">
        <x:v>875000</x:v>
      </x:c>
      <x:c r="G4" s="28" t="n">
        <x:v>790000</x:v>
      </x:c>
      <x:c r="H4" s="28" t="n">
        <x:v>695000</x:v>
      </x:c>
      <x:c r="I4" s="29" t="n">
        <x:v>45747</x:v>
      </x:c>
      <x:c r="J4" s="27" t="str">
        <x:v>Cost Approach</x:v>
      </x:c>
      <x:c r="K4" s="28" t="n">
        <x:f>G4-F4</x:f>
        <x:v>-85000</x:v>
      </x:c>
      <x:c r="L4" s="28" t="n">
        <x:v>180000</x:v>
      </x:c>
      <x:c r="M4" s="28" t="n">
        <x:v>162000</x:v>
      </x:c>
      <x:c r="N4" s="28" t="n">
        <x:v>22000</x:v>
      </x:c>
      <x:c r="O4" s="27" t="str">
        <x:v>4% yearly</x:v>
      </x:c>
      <x:c r="P4" s="44" t="n">
        <x:v>90</x:v>
      </x:c>
      <x:c r="Q4" s="28" t="n">
        <x:v>48000</x:v>
      </x:c>
      <x:c r="R4" s="28" t="n">
        <x:v>20000</x:v>
      </x:c>
      <x:c r="S4" s="28" t="n">
        <x:v>9000</x:v>
      </x:c>
      <x:c r="T4" s="28" t="n">
        <x:v>28000</x:v>
      </x:c>
      <x:c r="U4" s="28" t="n">
        <x:v>14000</x:v>
      </x:c>
      <x:c r="V4" s="28" t="n">
        <x:v>90000</x:v>
      </x:c>
      <x:c r="W4" s="28" t="n">
        <x:f>Q4+R4+S4+T4+U4</x:f>
        <x:v>119000</x:v>
      </x:c>
      <x:c r="X4" s="28" t="n">
        <x:v>13800</x:v>
      </x:c>
    </x:row>
    <x:row r="5">
      <x:c r="A5" s="27" t="str">
        <x:v>DB-003</x:v>
      </x:c>
      <x:c r="B5" s="27" t="str">
        <x:v>AST-003</x:v>
      </x:c>
      <x:c r="C5" s="27" t="str">
        <x:v>Skyline Residency</x:v>
      </x:c>
      <x:c r="D5" s="27" t="str">
        <x:v>Kharadi</x:v>
      </x:c>
      <x:c r="E5" s="27" t="str">
        <x:v>Pune</x:v>
      </x:c>
      <x:c r="F5" s="28" t="n">
        <x:v>1800000</x:v>
      </x:c>
      <x:c r="G5" s="28" t="n">
        <x:v>2150000</x:v>
      </x:c>
      <x:c r="H5" s="28" t="n">
        <x:v>1560000</x:v>
      </x:c>
      <x:c r="I5" s="29" t="n">
        <x:v>45747</x:v>
      </x:c>
      <x:c r="J5" s="27" t="str">
        <x:v>Market Approach</x:v>
      </x:c>
      <x:c r="K5" s="28" t="n">
        <x:f>G5-F5</x:f>
        <x:v>350000</x:v>
      </x:c>
      <x:c r="L5" s="28" t="n">
        <x:v>360000</x:v>
      </x:c>
      <x:c r="M5" s="28" t="n">
        <x:v>342000</x:v>
      </x:c>
      <x:c r="N5" s="28" t="n">
        <x:v>45000</x:v>
      </x:c>
      <x:c r="O5" s="27" t="str">
        <x:v>5% yearly</x:v>
      </x:c>
      <x:c r="P5" s="44" t="n">
        <x:v>95</x:v>
      </x:c>
      <x:c r="Q5" s="28" t="n">
        <x:v>75000</x:v>
      </x:c>
      <x:c r="R5" s="28" t="n">
        <x:v>36000</x:v>
      </x:c>
      <x:c r="S5" s="28" t="n">
        <x:v>16000</x:v>
      </x:c>
      <x:c r="T5" s="28" t="n">
        <x:v>42000</x:v>
      </x:c>
      <x:c r="U5" s="28" t="n">
        <x:v>22000</x:v>
      </x:c>
      <x:c r="V5" s="28" t="n">
        <x:v>220000</x:v>
      </x:c>
      <x:c r="W5" s="28" t="n">
        <x:f>Q5+R5+S5+T5+U5</x:f>
        <x:v>191000</x:v>
      </x:c>
      <x:c r="X5" s="28" t="n">
        <x:v>25000</x:v>
      </x:c>
    </x:row>
    <x:row r="6">
      <x:c r="A6" s="27" t="str">
        <x:v>DB-004</x:v>
      </x:c>
      <x:c r="B6" s="27" t="str">
        <x:v>AST-004</x:v>
      </x:c>
      <x:c r="C6" s="27" t="str">
        <x:v>Metro Square Mall</x:v>
      </x:c>
      <x:c r="D6" s="27" t="str">
        <x:v>Viman Nagar</x:v>
      </x:c>
      <x:c r="E6" s="27" t="str">
        <x:v>Pune</x:v>
      </x:c>
      <x:c r="F6" s="28" t="n">
        <x:v>540000</x:v>
      </x:c>
      <x:c r="G6" s="28" t="n">
        <x:v>485000</x:v>
      </x:c>
      <x:c r="H6" s="28" t="n">
        <x:v>410000</x:v>
      </x:c>
      <x:c r="I6" s="29" t="n">
        <x:v>45747</x:v>
      </x:c>
      <x:c r="J6" s="27" t="str">
        <x:v>Depreciated Replacement Cost</x:v>
      </x:c>
      <x:c r="K6" s="28" t="n">
        <x:f>G6-F6</x:f>
        <x:v>-55000</x:v>
      </x:c>
      <x:c r="L6" s="28" t="n">
        <x:v>120000</x:v>
      </x:c>
      <x:c r="M6" s="28" t="n">
        <x:v>102000</x:v>
      </x:c>
      <x:c r="N6" s="28" t="n">
        <x:v>18000</x:v>
      </x:c>
      <x:c r="O6" s="27" t="str">
        <x:v>3% yearly</x:v>
      </x:c>
      <x:c r="P6" s="44" t="n">
        <x:v>85</x:v>
      </x:c>
      <x:c r="Q6" s="28" t="n">
        <x:v>38000</x:v>
      </x:c>
      <x:c r="R6" s="28" t="n">
        <x:v>15000</x:v>
      </x:c>
      <x:c r="S6" s="28" t="n">
        <x:v>7000</x:v>
      </x:c>
      <x:c r="T6" s="28" t="n">
        <x:v>24000</x:v>
      </x:c>
      <x:c r="U6" s="28" t="n">
        <x:v>12000</x:v>
      </x:c>
      <x:c r="V6" s="28" t="n">
        <x:v>70000</x:v>
      </x:c>
      <x:c r="W6" s="28" t="n">
        <x:f>Q6+R6+S6+T6+U6</x:f>
        <x:v>96000</x:v>
      </x:c>
      <x:c r="X6" s="28" t="n">
        <x:v>9500</x:v>
      </x:c>
    </x:row>
    <x:row r="7">
      <x:c r="A7" s="27" t="str">
        <x:v>DB-005</x:v>
      </x:c>
      <x:c r="B7" s="27" t="str">
        <x:v>AST-005</x:v>
      </x:c>
      <x:c r="C7" s="27" t="str">
        <x:v>Greenfield Warehouse</x:v>
      </x:c>
      <x:c r="D7" s="27" t="str">
        <x:v>Chakan</x:v>
      </x:c>
      <x:c r="E7" s="27" t="str">
        <x:v>Pune</x:v>
      </x:c>
      <x:c r="F7" s="28" t="n">
        <x:v>2275000</x:v>
      </x:c>
      <x:c r="G7" s="28" t="n">
        <x:v>2530000</x:v>
      </x:c>
      <x:c r="H7" s="28" t="n">
        <x:v>1990000</x:v>
      </x:c>
      <x:c r="I7" s="29" t="n">
        <x:v>45747</x:v>
      </x:c>
      <x:c r="J7" s="27" t="str">
        <x:v>Income Approach</x:v>
      </x:c>
      <x:c r="K7" s="28" t="n">
        <x:f>G7-F7</x:f>
        <x:v>255000</x:v>
      </x:c>
      <x:c r="L7" s="28" t="n">
        <x:v>420000</x:v>
      </x:c>
      <x:c r="M7" s="28" t="n">
        <x:v>399000</x:v>
      </x:c>
      <x:c r="N7" s="28" t="n">
        <x:v>55000</x:v>
      </x:c>
      <x:c r="O7" s="27" t="str">
        <x:v>6% yearly</x:v>
      </x:c>
      <x:c r="P7" s="44" t="n">
        <x:v>95</x:v>
      </x:c>
      <x:c r="Q7" s="28" t="n">
        <x:v>85000</x:v>
      </x:c>
      <x:c r="R7" s="28" t="n">
        <x:v>42000</x:v>
      </x:c>
      <x:c r="S7" s="28" t="n">
        <x:v>18000</x:v>
      </x:c>
      <x:c r="T7" s="28" t="n">
        <x:v>48000</x:v>
      </x:c>
      <x:c r="U7" s="28" t="n">
        <x:v>26000</x:v>
      </x:c>
      <x:c r="V7" s="28" t="n">
        <x:v>275000</x:v>
      </x:c>
      <x:c r="W7" s="28" t="n">
        <x:f>Q7+R7+S7+T7+U7</x:f>
        <x:v>219000</x:v>
      </x:c>
      <x:c r="X7" s="28" t="n">
        <x:v>31000</x:v>
      </x:c>
    </x:row>
    <x:row r="8">
      <x:c r="A8" s="27" t="str">
        <x:v>DB-006</x:v>
      </x:c>
      <x:c r="B8" s="27" t="str">
        <x:v>AST-006</x:v>
      </x:c>
      <x:c r="C8" s="27" t="str">
        <x:v>Prime Corporate Tower</x:v>
      </x:c>
      <x:c r="D8" s="27" t="str">
        <x:v>Shivajinagar</x:v>
      </x:c>
      <x:c r="E8" s="27" t="str">
        <x:v>Pune</x:v>
      </x:c>
      <x:c r="F8" s="28" t="n">
        <x:v>320000</x:v>
      </x:c>
      <x:c r="G8" s="28" t="n">
        <x:v>275000</x:v>
      </x:c>
      <x:c r="H8" s="28" t="n">
        <x:v>240000</x:v>
      </x:c>
      <x:c r="I8" s="29" t="n">
        <x:v>45747</x:v>
      </x:c>
      <x:c r="J8" s="27" t="str">
        <x:v>Cost Approach</x:v>
      </x:c>
      <x:c r="K8" s="28" t="n">
        <x:f>G8-F8</x:f>
        <x:v>-45000</x:v>
      </x:c>
      <x:c r="L8" s="28" t="n">
        <x:v>90000</x:v>
      </x:c>
      <x:c r="M8" s="28" t="n">
        <x:v>76500</x:v>
      </x:c>
      <x:c r="N8" s="28" t="n">
        <x:v>12000</x:v>
      </x:c>
      <x:c r="O8" s="27" t="str">
        <x:v>3% yearly</x:v>
      </x:c>
      <x:c r="P8" s="44" t="n">
        <x:v>85</x:v>
      </x:c>
      <x:c r="Q8" s="28" t="n">
        <x:v>25000</x:v>
      </x:c>
      <x:c r="R8" s="28" t="n">
        <x:v>10000</x:v>
      </x:c>
      <x:c r="S8" s="28" t="n">
        <x:v>5000</x:v>
      </x:c>
      <x:c r="T8" s="28" t="n">
        <x:v>18000</x:v>
      </x:c>
      <x:c r="U8" s="28" t="n">
        <x:v>8000</x:v>
      </x:c>
      <x:c r="V8" s="28" t="n">
        <x:v>50000</x:v>
      </x:c>
      <x:c r="W8" s="28" t="n">
        <x:f>Q8+R8+S8+T8+U8</x:f>
        <x:v>66000</x:v>
      </x:c>
      <x:c r="X8" s="28" t="n">
        <x:v>6800</x:v>
      </x:c>
    </x:row>
    <x:row r="9">
      <x:c r="A9" s="27" t="str">
        <x:v>DB-007</x:v>
      </x:c>
      <x:c r="B9" s="27" t="str">
        <x:v>AST-007</x:v>
      </x:c>
      <x:c r="C9" s="27" t="str">
        <x:v>Lakeview Heights</x:v>
      </x:c>
      <x:c r="D9" s="27" t="str">
        <x:v>Pashan</x:v>
      </x:c>
      <x:c r="E9" s="27" t="str">
        <x:v>Pune</x:v>
      </x:c>
      <x:c r="F9" s="28" t="n">
        <x:v>1560000</x:v>
      </x:c>
      <x:c r="G9" s="28" t="n">
        <x:v>1710000</x:v>
      </x:c>
      <x:c r="H9" s="28" t="n">
        <x:v>1325000</x:v>
      </x:c>
      <x:c r="I9" s="29" t="n">
        <x:v>45747</x:v>
      </x:c>
      <x:c r="J9" s="27" t="str">
        <x:v>Market Approach</x:v>
      </x:c>
      <x:c r="K9" s="28" t="n">
        <x:f>G9-F9</x:f>
        <x:v>150000</x:v>
      </x:c>
      <x:c r="L9" s="28" t="n">
        <x:v>300000</x:v>
      </x:c>
      <x:c r="M9" s="28" t="n">
        <x:v>279000</x:v>
      </x:c>
      <x:c r="N9" s="28" t="n">
        <x:v>30000</x:v>
      </x:c>
      <x:c r="O9" s="27" t="str">
        <x:v>5% yearly</x:v>
      </x:c>
      <x:c r="P9" s="44" t="n">
        <x:v>93</x:v>
      </x:c>
      <x:c r="Q9" s="28" t="n">
        <x:v>65000</x:v>
      </x:c>
      <x:c r="R9" s="28" t="n">
        <x:v>30000</x:v>
      </x:c>
      <x:c r="S9" s="28" t="n">
        <x:v>13000</x:v>
      </x:c>
      <x:c r="T9" s="28" t="n">
        <x:v>34000</x:v>
      </x:c>
      <x:c r="U9" s="28" t="n">
        <x:v>20000</x:v>
      </x:c>
      <x:c r="V9" s="28" t="n">
        <x:v>180000</x:v>
      </x:c>
      <x:c r="W9" s="28" t="n">
        <x:f>Q9+R9+S9+T9+U9</x:f>
        <x:v>162000</x:v>
      </x:c>
      <x:c r="X9" s="28" t="n">
        <x:v>21500</x:v>
      </x:c>
    </x:row>
    <x:row r="10">
      <x:c r="A10" s="27" t="str">
        <x:v>DB-008</x:v>
      </x:c>
      <x:c r="B10" s="27" t="str">
        <x:v>AST-008</x:v>
      </x:c>
      <x:c r="C10" s="27" t="str">
        <x:v>Urban Logistics Hub</x:v>
      </x:c>
      <x:c r="D10" s="27" t="str">
        <x:v>Talegaon</x:v>
      </x:c>
      <x:c r="E10" s="27" t="str">
        <x:v>Pune</x:v>
      </x:c>
      <x:c r="F10" s="28" t="n">
        <x:v>990000</x:v>
      </x:c>
      <x:c r="G10" s="28" t="n">
        <x:v>1080000</x:v>
      </x:c>
      <x:c r="H10" s="28" t="n">
        <x:v>855000</x:v>
      </x:c>
      <x:c r="I10" s="29" t="n">
        <x:v>45747</x:v>
      </x:c>
      <x:c r="J10" s="27" t="str">
        <x:v>Depreciated Replacement Cost</x:v>
      </x:c>
      <x:c r="K10" s="28" t="n">
        <x:f>G10-F10</x:f>
        <x:v>90000</x:v>
      </x:c>
      <x:c r="L10" s="28" t="n">
        <x:v>210000</x:v>
      </x:c>
      <x:c r="M10" s="28" t="n">
        <x:v>189000</x:v>
      </x:c>
      <x:c r="N10" s="28" t="n">
        <x:v>24000</x:v>
      </x:c>
      <x:c r="O10" s="27" t="str">
        <x:v>4% yearly</x:v>
      </x:c>
      <x:c r="P10" s="44" t="n">
        <x:v>90</x:v>
      </x:c>
      <x:c r="Q10" s="28" t="n">
        <x:v>52000</x:v>
      </x:c>
      <x:c r="R10" s="28" t="n">
        <x:v>24000</x:v>
      </x:c>
      <x:c r="S10" s="28" t="n">
        <x:v>10000</x:v>
      </x:c>
      <x:c r="T10" s="28" t="n">
        <x:v>30000</x:v>
      </x:c>
      <x:c r="U10" s="28" t="n">
        <x:v>15000</x:v>
      </x:c>
      <x:c r="V10" s="28" t="n">
        <x:v>110000</x:v>
      </x:c>
      <x:c r="W10" s="28" t="n">
        <x:f>Q10+R10+S10+T10+U10</x:f>
        <x:v>131000</x:v>
      </x:c>
      <x:c r="X10" s="28" t="n">
        <x:v>14500</x:v>
      </x:c>
    </x:row>
    <x:row r="11">
      <x:c r="A11" s="27" t="str">
        <x:v>DB-009</x:v>
      </x:c>
      <x:c r="B11" s="27" t="str">
        <x:v>AST-009</x:v>
      </x:c>
      <x:c r="C11" s="27" t="str">
        <x:v>City Central Plaza</x:v>
      </x:c>
      <x:c r="D11" s="27" t="str">
        <x:v>Deccan</x:v>
      </x:c>
      <x:c r="E11" s="27" t="str">
        <x:v>Pune</x:v>
      </x:c>
      <x:c r="F11" s="28" t="n">
        <x:v>3000000</x:v>
      </x:c>
      <x:c r="G11" s="28" t="n">
        <x:v>3450000</x:v>
      </x:c>
      <x:c r="H11" s="28" t="n">
        <x:v>2675000</x:v>
      </x:c>
      <x:c r="I11" s="29" t="n">
        <x:v>45747</x:v>
      </x:c>
      <x:c r="J11" s="27" t="str">
        <x:v>Income Approach</x:v>
      </x:c>
      <x:c r="K11" s="28" t="n">
        <x:f>G11-F11</x:f>
        <x:v>450000</x:v>
      </x:c>
      <x:c r="L11" s="28" t="n">
        <x:v>540000</x:v>
      </x:c>
      <x:c r="M11" s="28" t="n">
        <x:v>518400</x:v>
      </x:c>
      <x:c r="N11" s="28" t="n">
        <x:v>75000</x:v>
      </x:c>
      <x:c r="O11" s="27" t="str">
        <x:v>6% yearly</x:v>
      </x:c>
      <x:c r="P11" s="44" t="n">
        <x:v>96</x:v>
      </x:c>
      <x:c r="Q11" s="28" t="n">
        <x:v>105000</x:v>
      </x:c>
      <x:c r="R11" s="28" t="n">
        <x:v>55000</x:v>
      </x:c>
      <x:c r="S11" s="28" t="n">
        <x:v>24000</x:v>
      </x:c>
      <x:c r="T11" s="28" t="n">
        <x:v>60000</x:v>
      </x:c>
      <x:c r="U11" s="28" t="n">
        <x:v>32000</x:v>
      </x:c>
      <x:c r="V11" s="28" t="n">
        <x:v>350000</x:v>
      </x:c>
      <x:c r="W11" s="28" t="n">
        <x:f>Q11+R11+S11+T11+U11</x:f>
        <x:v>276000</x:v>
      </x:c>
      <x:c r="X11" s="28" t="n">
        <x:v>42000</x:v>
      </x:c>
    </x:row>
    <x:row r="12">
      <x:c r="A12" s="27" t="str">
        <x:v>DB-010</x:v>
      </x:c>
      <x:c r="B12" s="27" t="str">
        <x:v>AST-010</x:v>
      </x:c>
      <x:c r="C12" s="27" t="str">
        <x:v>Elite Tech Center</x:v>
      </x:c>
      <x:c r="D12" s="27" t="str">
        <x:v>Hinjewadi</x:v>
      </x:c>
      <x:c r="E12" s="27" t="str">
        <x:v>Pune</x:v>
      </x:c>
      <x:c r="F12" s="28" t="n">
        <x:v>680000</x:v>
      </x:c>
      <x:c r="G12" s="28" t="n">
        <x:v>610000</x:v>
      </x:c>
      <x:c r="H12" s="28" t="n">
        <x:v>525000</x:v>
      </x:c>
      <x:c r="I12" s="29" t="n">
        <x:v>45747</x:v>
      </x:c>
      <x:c r="J12" s="27" t="str">
        <x:v>Cost Approach</x:v>
      </x:c>
      <x:c r="K12" s="28" t="n">
        <x:f>G12-F12</x:f>
        <x:v>-70000</x:v>
      </x:c>
      <x:c r="L12" s="28" t="n">
        <x:v>150000</x:v>
      </x:c>
      <x:c r="M12" s="28" t="n">
        <x:v>127500</x:v>
      </x:c>
      <x:c r="N12" s="28" t="n">
        <x:v>20000</x:v>
      </x:c>
      <x:c r="O12" s="27" t="str">
        <x:v>4% yearly</x:v>
      </x:c>
      <x:c r="P12" s="44" t="n">
        <x:v>85</x:v>
      </x:c>
      <x:c r="Q12" s="28" t="n">
        <x:v>42000</x:v>
      </x:c>
      <x:c r="R12" s="28" t="n">
        <x:v>18000</x:v>
      </x:c>
      <x:c r="S12" s="28" t="n">
        <x:v>8000</x:v>
      </x:c>
      <x:c r="T12" s="28" t="n">
        <x:v>26000</x:v>
      </x:c>
      <x:c r="U12" s="28" t="n">
        <x:v>13000</x:v>
      </x:c>
      <x:c r="V12" s="28" t="n">
        <x:v>80000</x:v>
      </x:c>
      <x:c r="W12" s="28" t="n">
        <x:f>Q12+R12+S12+T12+U12</x:f>
        <x:v>107000</x:v>
      </x:c>
      <x:c r="X12" s="28" t="n">
        <x:v>11200</x:v>
      </x:c>
    </x:row>
  </x:sheetData>
  <x:mergeCells>
    <x:mergeCell ref="A1:X1"/>
  </x:mergeCells>
  <x:conditionalFormatting sqref="K3:K12">
    <x:cfRule type="expression" dxfId="2" priority="1">
      <x:formula>K3&lt;0</x:formula>
    </x:cfRule>
    <x:cfRule type="expression" dxfId="3" priority="2">
      <x:formula>K3&gt;=0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6ae239df88e44bd"/>
  </x:tableParts>
</x:worksheet>
</file>